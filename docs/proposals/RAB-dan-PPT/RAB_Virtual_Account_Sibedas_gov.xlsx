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4BDC461-97FD-4122-A731-DA393A123B9F}" xr6:coauthVersionLast="47" xr6:coauthVersionMax="47" xr10:uidLastSave="{00000000-0000-0000-0000-000000000000}"/>
  <bookViews>
    <workbookView xWindow="2952" yWindow="1992" windowWidth="17280" windowHeight="8880" xr2:uid="{00000000-000D-0000-FFFF-FFFF00000000}"/>
  </bookViews>
  <sheets>
    <sheet name="RAB Virtual Account" sheetId="1" r:id="rId1"/>
  </sheets>
  <calcPr calcId="191029"/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16" i="1" s="1"/>
  <c r="F17" i="1" l="1"/>
  <c r="F18" i="1" s="1"/>
</calcChain>
</file>

<file path=xl/sharedStrings.xml><?xml version="1.0" encoding="utf-8"?>
<sst xmlns="http://schemas.openxmlformats.org/spreadsheetml/2006/main" count="31" uniqueCount="23">
  <si>
    <t>RAB Pengembangan Integrasi Virtual Account Pembayaran</t>
  </si>
  <si>
    <t>Instansi: Dinas PUTR Kabupaten Bandung</t>
  </si>
  <si>
    <t>Sistem: Sibedas PBG</t>
  </si>
  <si>
    <t>Pengembang: __________________</t>
  </si>
  <si>
    <t>No</t>
  </si>
  <si>
    <t>Uraian Pekerjaan</t>
  </si>
  <si>
    <t>Volume</t>
  </si>
  <si>
    <t>Satuan</t>
  </si>
  <si>
    <t>Harga Satuan (Rp)</t>
  </si>
  <si>
    <t>Jumlah (Rp)</t>
  </si>
  <si>
    <t>Analisis kebutuhan sistem pembayaran</t>
  </si>
  <si>
    <t>paket</t>
  </si>
  <si>
    <t>Perancangan arsitektur integrasi Bank / Payment Gateway</t>
  </si>
  <si>
    <t>Koordinasi teknis dan meeting integrasi dengan Bank</t>
  </si>
  <si>
    <t>Pengembangan API pembuatan Virtual Account</t>
  </si>
  <si>
    <t>Pengembangan webhook notifikasi pembayaran</t>
  </si>
  <si>
    <t>Integrasi update status pembayaran pada database Sibedas</t>
  </si>
  <si>
    <t>Pengembangan laporan dan monitoring transaksi pembayaran</t>
  </si>
  <si>
    <t>Testing transaksi pembayaran dan validasi sistem</t>
  </si>
  <si>
    <t>Deployment dan konfigurasi sistem pembayaran</t>
  </si>
  <si>
    <t>Subtotal</t>
  </si>
  <si>
    <t>PPN 11%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</si>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</sst>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1" fontId="0" fillId="0" borderId="0" xfId="1" applyFont="1"/>
    <xf numFmtId="41" fontId="2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4" workbookViewId="0">
      <selection activeCell="E8" sqref="E8"/>
    </sheetView>
  </sheetViews>
  <sheetFormatPr defaultRowHeight="14.4" x14ac:dyDescent="0.3"/>
  <cols>
    <col min="1" max="1" width="6" customWidth="1"/>
    <col min="2" max="2" width="45" customWidth="1"/>
    <col min="3" max="3" width="10" customWidth="1"/>
    <col min="4" max="4" width="12" customWidth="1"/>
    <col min="5" max="6" width="18" customWidth="1"/>
    <col min="2000" max="2000" width="2.5546875" customWidth="1"/>
  </cols>
  <sheetData>
    <row r="1" spans="1:6" ht="18" x14ac:dyDescent="0.35">
      <c r="A1" s="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3">
      <c r="A7">
        <v>1</v>
      </c>
      <c r="B7" t="s">
        <v>10</v>
      </c>
      <c r="C7">
        <v>1</v>
      </c>
      <c r="D7" t="s">
        <v>11</v>
      </c>
      <c r="E7" s="3">
        <v>1500000</v>
      </c>
      <c r="F7" s="3">
        <f t="shared" ref="F7:F15" si="0">C7*E7</f>
        <v>1500000</v>
      </c>
    </row>
    <row r="8" spans="1:6" x14ac:dyDescent="0.3">
      <c r="A8">
        <v>2</v>
      </c>
      <c r="B8" t="s">
        <v>12</v>
      </c>
      <c r="C8">
        <v>1</v>
      </c>
      <c r="D8" t="s">
        <v>11</v>
      </c>
      <c r="E8" s="3">
        <v>2000000</v>
      </c>
      <c r="F8" s="3">
        <f t="shared" si="0"/>
        <v>2000000</v>
      </c>
    </row>
    <row r="9" spans="1:6" x14ac:dyDescent="0.3">
      <c r="A9">
        <v>3</v>
      </c>
      <c r="B9" t="s">
        <v>13</v>
      </c>
      <c r="C9">
        <v>1</v>
      </c>
      <c r="D9" t="s">
        <v>11</v>
      </c>
      <c r="E9" s="3">
        <v>3000000</v>
      </c>
      <c r="F9" s="3">
        <f t="shared" si="0"/>
        <v>3000000</v>
      </c>
    </row>
    <row r="10" spans="1:6" x14ac:dyDescent="0.3">
      <c r="A10">
        <v>4</v>
      </c>
      <c r="B10" t="s">
        <v>14</v>
      </c>
      <c r="C10">
        <v>1</v>
      </c>
      <c r="D10" t="s">
        <v>11</v>
      </c>
      <c r="E10" s="3">
        <v>4500000</v>
      </c>
      <c r="F10" s="3">
        <f t="shared" si="0"/>
        <v>4500000</v>
      </c>
    </row>
    <row r="11" spans="1:6" x14ac:dyDescent="0.3">
      <c r="A11">
        <v>5</v>
      </c>
      <c r="B11" t="s">
        <v>15</v>
      </c>
      <c r="C11">
        <v>1</v>
      </c>
      <c r="D11" t="s">
        <v>11</v>
      </c>
      <c r="E11" s="3">
        <v>4000000</v>
      </c>
      <c r="F11" s="3">
        <f t="shared" si="0"/>
        <v>4000000</v>
      </c>
    </row>
    <row r="12" spans="1:6" x14ac:dyDescent="0.3">
      <c r="A12">
        <v>6</v>
      </c>
      <c r="B12" t="s">
        <v>16</v>
      </c>
      <c r="C12">
        <v>1</v>
      </c>
      <c r="D12" t="s">
        <v>11</v>
      </c>
      <c r="E12" s="3">
        <v>3000000</v>
      </c>
      <c r="F12" s="3">
        <f t="shared" si="0"/>
        <v>3000000</v>
      </c>
    </row>
    <row r="13" spans="1:6" x14ac:dyDescent="0.3">
      <c r="A13">
        <v>7</v>
      </c>
      <c r="B13" t="s">
        <v>17</v>
      </c>
      <c r="C13">
        <v>1</v>
      </c>
      <c r="D13" t="s">
        <v>11</v>
      </c>
      <c r="E13" s="3">
        <v>2000000</v>
      </c>
      <c r="F13" s="3">
        <f t="shared" si="0"/>
        <v>2000000</v>
      </c>
    </row>
    <row r="14" spans="1:6" x14ac:dyDescent="0.3">
      <c r="A14">
        <v>8</v>
      </c>
      <c r="B14" t="s">
        <v>18</v>
      </c>
      <c r="C14">
        <v>1</v>
      </c>
      <c r="D14" t="s">
        <v>11</v>
      </c>
      <c r="E14" s="3">
        <v>2000000</v>
      </c>
      <c r="F14" s="3">
        <f t="shared" si="0"/>
        <v>2000000</v>
      </c>
    </row>
    <row r="15" spans="1:6" x14ac:dyDescent="0.3">
      <c r="A15">
        <v>9</v>
      </c>
      <c r="B15" t="s">
        <v>19</v>
      </c>
      <c r="C15">
        <v>1</v>
      </c>
      <c r="D15" t="s">
        <v>11</v>
      </c>
      <c r="E15" s="3">
        <v>1500000</v>
      </c>
      <c r="F15" s="3">
        <f t="shared" si="0"/>
        <v>1500000</v>
      </c>
    </row>
    <row r="16" spans="1:6" x14ac:dyDescent="0.3">
      <c r="E16" s="3" t="s">
        <v>20</v>
      </c>
      <c r="F16" s="3">
        <f>SUM(F7:F15)</f>
        <v>23500000</v>
      </c>
    </row>
    <row r="17" spans="5:6" x14ac:dyDescent="0.3">
      <c r="E17" s="3" t="s">
        <v>21</v>
      </c>
      <c r="F17" s="3">
        <f>F16*0.11</f>
        <v>2585000</v>
      </c>
    </row>
    <row r="18" spans="5:6" x14ac:dyDescent="0.3">
      <c r="E18" s="4" t="s">
        <v>22</v>
      </c>
      <c r="F18" s="4">
        <f>F16+F17</f>
        <v>26085000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 Virtual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Nauval Zulfikar</cp:lastModifiedBy>
  <dcterms:created xsi:type="dcterms:W3CDTF">2026-04-10T19:38:44Z</dcterms:created>
  <dcterms:modified xsi:type="dcterms:W3CDTF">2026-04-10T19:39:23Z</dcterms:modified>
</cp:coreProperties>
</file>